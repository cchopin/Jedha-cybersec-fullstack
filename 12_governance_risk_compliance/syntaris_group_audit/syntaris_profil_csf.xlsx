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Profil CSF 2.0" sheetId="2" state="visible" r:id="rId4"/>
    <sheet name="Synthèse par fonctio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<sst xmlns="http://schemas.openxmlformats.org/spreadsheetml/2006/main" count="126" uniqueCount="123">
  <si>
    <t xml:space="preserve">Profil organisationnel NIST CSF 2.0</t>
  </si>
  <si>
    <t xml:space="preserve">Syntaris Group, audit de cybersécurité (consultant externe)</t>
  </si>
  <si>
    <t xml:space="preserve">État actuel vs état cible, par fonction et sous-catégorie</t>
  </si>
  <si>
    <t xml:space="preserve">Échelle de maturité utilisée</t>
  </si>
  <si>
    <t xml:space="preserve">Niveau</t>
  </si>
  <si>
    <t xml:space="preserve">Libellé</t>
  </si>
  <si>
    <t xml:space="preserve">Description</t>
  </si>
  <si>
    <t xml:space="preserve">Initial</t>
  </si>
  <si>
    <t xml:space="preserve">Pratique absente ou informelle, réactive, non documentée</t>
  </si>
  <si>
    <t xml:space="preserve">Reproductible</t>
  </si>
  <si>
    <t xml:space="preserve">Pratique existante mais inconstante, dépendante des personnes</t>
  </si>
  <si>
    <t xml:space="preserve">Défini</t>
  </si>
  <si>
    <t xml:space="preserve">Pratique documentée et appliquée de manière standard</t>
  </si>
  <si>
    <t xml:space="preserve">Géré</t>
  </si>
  <si>
    <t xml:space="preserve">Pratique mesurée, pilotée par indicateurs, revue régulièrement</t>
  </si>
  <si>
    <t xml:space="preserve">Optimisé</t>
  </si>
  <si>
    <t xml:space="preserve">Pratique en amélioration continue, automatisée et anticipative</t>
  </si>
  <si>
    <t xml:space="preserve">Code couleur de l'écart (cible - actuel)</t>
  </si>
  <si>
    <t xml:space="preserve">Écart</t>
  </si>
  <si>
    <t xml:space="preserve">Interprétation</t>
  </si>
  <si>
    <t xml:space="preserve">0</t>
  </si>
  <si>
    <t xml:space="preserve">Cible atteinte, à maintenir</t>
  </si>
  <si>
    <t xml:space="preserve">1</t>
  </si>
  <si>
    <t xml:space="preserve">Écart modéré, amélioration souhaitable</t>
  </si>
  <si>
    <t xml:space="preserve">2 et +</t>
  </si>
  <si>
    <t xml:space="preserve">Écart important, action prioritaire</t>
  </si>
  <si>
    <t xml:space="preserve">Note méthodologique</t>
  </si>
  <si>
    <t xml:space="preserve">Les niveaux sont établis à partir des cinq documents fournis (profil entreprise, infrastructure, historique d'incidents, entretien dirigeants, gestion des tiers). Lorsque l'information est partielle, une interprétation prudente est retenue et signalée. Source des constats indiquée dans la colonne justification.</t>
  </si>
  <si>
    <t xml:space="preserve">Fonction</t>
  </si>
  <si>
    <t xml:space="preserve">Sous-cat.</t>
  </si>
  <si>
    <t xml:space="preserve">Intitulé</t>
  </si>
  <si>
    <t xml:space="preserve">Actuel</t>
  </si>
  <si>
    <t xml:space="preserve">Cible</t>
  </si>
  <si>
    <t xml:space="preserve">Justification / preuve</t>
  </si>
  <si>
    <t xml:space="preserve">GOVERN (GV)</t>
  </si>
  <si>
    <t xml:space="preserve">GV.OC</t>
  </si>
  <si>
    <t xml:space="preserve">Contexte organisationnel</t>
  </si>
  <si>
    <t xml:space="preserve">Mission claire (fintech de confiance, identité et paiement). Contexte réglementaire identifié (RGPD, PCI-DSS, PIPEDA). Source: profil entreprise, entretien Sophie.</t>
  </si>
  <si>
    <t xml:space="preserve">GV.RM</t>
  </si>
  <si>
    <t xml:space="preserve">Stratégie de gestion du risque</t>
  </si>
  <si>
    <t xml:space="preserve">Alignement ISO 27005 et DPIA, registre des risques avec propriétaires. Mise à jour seulement trimestrielle, scoring peu formalisé. Source: entretien Lila et Sophie.</t>
  </si>
  <si>
    <t xml:space="preserve">GV.RR</t>
  </si>
  <si>
    <t xml:space="preserve">Rôles, responsabilités et autorités</t>
  </si>
  <si>
    <t xml:space="preserve">Pas de CISO dédié, responsabilité partagée entre Derek (reporte au CTO) et le comité exécutif. Risque de confusion en cas d'incident majeur. Source: entretien Sophie.</t>
  </si>
  <si>
    <t xml:space="preserve">GV.PO</t>
  </si>
  <si>
    <t xml:space="preserve">Politique</t>
  </si>
  <si>
    <t xml:space="preserve">Politiques formelles ISO-alignées dans Confluence (IAM, codage, accès distant, tiers, réponse). Revue trimestrielle théorique, lecture réelle incertaine. Source: entretien Derek.</t>
  </si>
  <si>
    <t xml:space="preserve">GV.OV</t>
  </si>
  <si>
    <t xml:space="preserve">Supervision</t>
  </si>
  <si>
    <t xml:space="preserve">Snapshot cyber au board tous les 6 mois, tabletops trimestriels, Security Guild transverse. Pilotage par indicateurs encore limité. Source: entretien Derek.</t>
  </si>
  <si>
    <t xml:space="preserve">GV.SC</t>
  </si>
  <si>
    <t xml:space="preserve">Gestion du risque chaîne d'appro.</t>
  </si>
  <si>
    <t xml:space="preserve">37 tiers, pas de plateforme GRC centralisée (Airtable, Confluence, SharePoint). Pas de pentest tiers, revues passives. 7 contrats en termes hérités. Source: gestion des tiers.</t>
  </si>
  <si>
    <t xml:space="preserve">IDENTIFY (ID)</t>
  </si>
  <si>
    <t xml:space="preserve">ID.AM</t>
  </si>
  <si>
    <t xml:space="preserve">Gestion des actifs</t>
  </si>
  <si>
    <t xml:space="preserve">Architecture hybride documentée (AWS, GCP legacy, OVH privé, on-prem). CMDB existante. Découverte des actifs indirects (SaaS RH) incomplète. Source: infrastructure, entretien Derek.</t>
  </si>
  <si>
    <t xml:space="preserve">ID.RA</t>
  </si>
  <si>
    <t xml:space="preserve">Évaluation du risque</t>
  </si>
  <si>
    <t xml:space="preserve">Pentests biannuels, Tenable.io, GuardDuty, DPIA. CVE VPN Cisco ASA non corrigée depuis oct. 2024 (risque stratégique à remédiation contrainte). Source: infra, incident 6.</t>
  </si>
  <si>
    <t xml:space="preserve">ID.IM</t>
  </si>
  <si>
    <t xml:space="preserve">Amélioration</t>
  </si>
  <si>
    <t xml:space="preserve">Post-mortems P1, catégorie 'menace issue du lab' ajoutée après l'incident sandbox, actions suivies dans Jira. Source: entretien Sophie et Derek, incident 4.</t>
  </si>
  <si>
    <t xml:space="preserve">PROTECT (PR)</t>
  </si>
  <si>
    <t xml:space="preserve">PR.AA</t>
  </si>
  <si>
    <t xml:space="preserve">Identité, authentification, accès</t>
  </si>
  <si>
    <t xml:space="preserve">OAuth2/JWT, Auth0 client, Azure AD interne, PAM CyberArk avec jump servers et JIT, MFA admin. Incident MFA lockout révèle un angle mort sur le recovery d'accès. Source: infra, incident 7.</t>
  </si>
  <si>
    <t xml:space="preserve">PR.AT</t>
  </si>
  <si>
    <t xml:space="preserve">Sensibilisation et formation</t>
  </si>
  <si>
    <t xml:space="preserve">Programme trimestriel piloté par le CISO, simulations GoPhish (clic passé de 21% à 7%). Contenu de formation daté (exemple BA 2018). Source: incident 3, entretien Sophie.</t>
  </si>
  <si>
    <t xml:space="preserve">PR.DS</t>
  </si>
  <si>
    <t xml:space="preserve">Sécurité des données</t>
  </si>
  <si>
    <t xml:space="preserve">AES-256 au repos, chiffrement en transit, masquage dynamique, RBAC, tokenisation PCI. Étapes de sanitisation avant entraînement ML non documentées. Source: infra, profil.</t>
  </si>
  <si>
    <t xml:space="preserve">PR.PS</t>
  </si>
  <si>
    <t xml:space="preserve">Sécurité des plateformes</t>
  </si>
  <si>
    <t xml:space="preserve">CIS Benchmarks sur le cloud, DevSecOps (Trivy, SonarQube, OPA), Vault pour secrets. GCP legacy et VPN non durcis, Cuckoo hors patch management. Source: infrastructure.</t>
  </si>
  <si>
    <t xml:space="preserve">PR.IR</t>
  </si>
  <si>
    <t xml:space="preserve">Résilience de l'infrastructure</t>
  </si>
  <si>
    <t xml:space="preserve">Multi-AZ, sauvegardes restic/Borg chiffrées LUKS, certaines air-gapped, PCA/PRA. Dépendance VPN legacy non résolue. Source: infrastructure, incident 6.</t>
  </si>
  <si>
    <t xml:space="preserve">DETECT (DE)</t>
  </si>
  <si>
    <t xml:space="preserve">DE.CM</t>
  </si>
  <si>
    <t xml:space="preserve">Surveillance continue</t>
  </si>
  <si>
    <t xml:space="preserve">SIEM Wazuh/ELK, Sysmon, Suricata, GuardDuty, PagerDuty. SOC en heures ouvrées seulement (08-18 CET), endpoints Mac sans télémétrie complète. Source: infra, notes détection.</t>
  </si>
  <si>
    <t xml:space="preserve">DE.AE</t>
  </si>
  <si>
    <t xml:space="preserve">Analyse des événements indésirables</t>
  </si>
  <si>
    <t xml:space="preserve">Corrélation limitée, règles par source, dérive de règles cloud/on-prem. Incident sandbox: alerte DNS beaconing mal taguée et non escaladée 3 jours. Source: incident 4, notes détection.</t>
  </si>
  <si>
    <t xml:space="preserve">RESPOND (RS)</t>
  </si>
  <si>
    <t xml:space="preserve">RS.MA</t>
  </si>
  <si>
    <t xml:space="preserve">Gestion d'incident</t>
  </si>
  <si>
    <t xml:space="preserve">Playbooks exécutés avec succès au tabletop Q4 2024 (comptes désactivés, VM isolée, triage en 2h). Cité comme point fort à l'audit ISO 27001. Source: incident 5.</t>
  </si>
  <si>
    <t xml:space="preserve">RS.AN</t>
  </si>
  <si>
    <t xml:space="preserve">Analyse d'incident</t>
  </si>
  <si>
    <t xml:space="preserve">Forensique présente (sandbox VMware ESXi, lab dédié). Pas de playbook pour menaces issues du lab avant 2023, rollback absent à l'époque. Source: incidents 4 et 5.</t>
  </si>
  <si>
    <t xml:space="preserve">RS.CO</t>
  </si>
  <si>
    <t xml:space="preserve">Signalement et communication</t>
  </si>
  <si>
    <t xml:space="preserve">Premier test transverse Legal/IT/Comms réussi en Q4 2024, divulgations simulées en 24h. Documentation RS.CO mise à jour. Source: incident 5.</t>
  </si>
  <si>
    <t xml:space="preserve">RS.MI</t>
  </si>
  <si>
    <t xml:space="preserve">Atténuation d'incident</t>
  </si>
  <si>
    <t xml:space="preserve">Isolation et reimaging démontrés. Pas de mécanisme de rollback ni d'interrupteur réseau avant l'incident sandbox 2023 (corrigé depuis). Source: incident 4.</t>
  </si>
  <si>
    <t xml:space="preserve">RECOVER (RC)</t>
  </si>
  <si>
    <t xml:space="preserve">RC.RP</t>
  </si>
  <si>
    <t xml:space="preserve">Exécution du plan de reprise</t>
  </si>
  <si>
    <t xml:space="preserve">Reprise testée au tabletop, sauvegardes air-gapped disponibles. PRA formel et validation d'intégrité à généraliser hors zones de prod. Source: incident 5, infra.</t>
  </si>
  <si>
    <t xml:space="preserve">RC.CO</t>
  </si>
  <si>
    <t xml:space="preserve">Communication de reprise</t>
  </si>
  <si>
    <t xml:space="preserve">Communication de crise testée en exercice. Pas de preuve de procédure récurrente hors exercice. Source: incident 5, interprétation prudente.</t>
  </si>
  <si>
    <t xml:space="preserve">Maturité moyenne actuelle</t>
  </si>
  <si>
    <t xml:space="preserve">Maturité moyenne par fonction NIST CSF</t>
  </si>
  <si>
    <t xml:space="preserve">Actuel (moy.)</t>
  </si>
  <si>
    <t xml:space="preserve">Cible (moy.)</t>
  </si>
  <si>
    <t xml:space="preserve">Commentaire</t>
  </si>
  <si>
    <t xml:space="preserve">GOVERN</t>
  </si>
  <si>
    <t xml:space="preserve">Point faible majeur: absence de CISO et GV.SC immature sur 37 tiers.</t>
  </si>
  <si>
    <t xml:space="preserve">IDENTIFY</t>
  </si>
  <si>
    <t xml:space="preserve">Bonne visibilité, mais CVE VPN non corrigée et actifs SaaS indirects mal suivis.</t>
  </si>
  <si>
    <t xml:space="preserve">PROTECT</t>
  </si>
  <si>
    <t xml:space="preserve">Fonction la plus mature: PAM, MFA, chiffrement AES-256, DevSecOps.</t>
  </si>
  <si>
    <t xml:space="preserve">DETECT</t>
  </si>
  <si>
    <t xml:space="preserve">Couverture inégale: SOC en heures ouvrées, corrélation faible, Mac non couverts.</t>
  </si>
  <si>
    <t xml:space="preserve">RESPOND</t>
  </si>
  <si>
    <t xml:space="preserve">Très mature, tabletop Q4 2024 salué à l'audit ISO 27001.</t>
  </si>
  <si>
    <t xml:space="preserve">RECOVER</t>
  </si>
  <si>
    <t xml:space="preserve">Solide sur la sauvegarde, à formaliser hors zones de production.</t>
  </si>
</sst>
</file>

<file path=xl/styles.xml><?xml version="1.0" encoding="utf-8"?>
<styleSheet xmlns="http://schemas.openxmlformats.org/spreadsheetml/2006/main">
  <numFmts count="2">
    <numFmt numFmtId="164" formatCode="General"/>
    <numFmt numFmtId="165" formatCode="0.0"/>
  </numFmts>
  <fonts count="17">
    <font>
      <sz val="11"/>
      <color theme="1"/>
      <name val="Calibri"/>
      <family val="2"/>
      <charset val="1"/>
    </font>
    <font>
      <sz val="10"/>
      <name val="Arial"/>
      <family val="0"/>
    </font>
    <font>
      <sz val="10"/>
      <name val="Arial"/>
      <family val="0"/>
    </font>
    <font>
      <sz val="10"/>
      <name val="Arial"/>
      <family val="0"/>
    </font>
    <font>
      <b val="true"/>
      <sz val="18"/>
      <color rgb="FF1E2761"/>
      <name val="Arial"/>
      <family val="0"/>
      <charset val="1"/>
    </font>
    <font>
      <sz val="12"/>
      <color rgb="FF595959"/>
      <name val="Arial"/>
      <family val="0"/>
      <charset val="1"/>
    </font>
    <font>
      <i val="true"/>
      <sz val="11"/>
      <color rgb="FF595959"/>
      <name val="Arial"/>
      <family val="0"/>
      <charset val="1"/>
    </font>
    <font>
      <b val="true"/>
      <sz val="13"/>
      <color rgb="FF1E2761"/>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b val="true"/>
      <sz val="10"/>
      <color rgb="FFFFFFFF"/>
      <name val="Arial"/>
      <family val="0"/>
      <charset val="1"/>
    </font>
    <font>
      <b val="true"/>
      <sz val="12"/>
      <color rgb="FF1E2761"/>
      <name val="Arial"/>
      <family val="0"/>
      <charset val="1"/>
    </font>
    <font>
      <b val="true"/>
      <sz val="10"/>
      <color rgb="FF1E2761"/>
      <name val="Arial"/>
      <family val="0"/>
      <charset val="1"/>
    </font>
    <font>
      <b val="true"/>
      <sz val="14"/>
      <color rgb="FF1E2761"/>
      <name val="Arial"/>
      <family val="0"/>
      <charset val="1"/>
    </font>
    <font>
      <b val="true"/>
      <sz val="18"/>
      <color rgb="FF000000"/>
      <name val="Calibri"/>
      <family val="2"/>
    </font>
    <font>
      <sz val="10"/>
      <color rgb="FF000000"/>
      <name val="Calibri"/>
      <family val="2"/>
    </font>
  </fonts>
  <fills count="7">
    <fill>
      <patternFill patternType="none"/>
    </fill>
    <fill>
      <patternFill patternType="gray125"/>
    </fill>
    <fill>
      <patternFill patternType="solid">
        <fgColor rgb="FF1E2761"/>
        <bgColor rgb="FF333333"/>
      </patternFill>
    </fill>
    <fill>
      <patternFill patternType="solid">
        <fgColor rgb="FFF2F2F2"/>
        <bgColor rgb="FFFFFFFF"/>
      </patternFill>
    </fill>
    <fill>
      <patternFill patternType="solid">
        <fgColor rgb="FF27AE60"/>
        <bgColor rgb="FF008080"/>
      </patternFill>
    </fill>
    <fill>
      <patternFill patternType="solid">
        <fgColor rgb="FFE67E22"/>
        <bgColor rgb="FFFF9900"/>
      </patternFill>
    </fill>
    <fill>
      <patternFill patternType="solid">
        <fgColor rgb="FFC0392B"/>
        <bgColor rgb="FFCE3A36"/>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78787"/>
      <rgbColor rgb="FF9999FF"/>
      <rgbColor rgb="FFC0392B"/>
      <rgbColor rgb="FFF2F2F2"/>
      <rgbColor rgb="FFCCFFFF"/>
      <rgbColor rgb="FF660066"/>
      <rgbColor rgb="FFFF8080"/>
      <rgbColor rgb="FF2E5F99"/>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97BCA"/>
      <rgbColor rgb="FF33CCCC"/>
      <rgbColor rgb="FF99CC00"/>
      <rgbColor rgb="FFFFCC00"/>
      <rgbColor rgb="FFFF9900"/>
      <rgbColor rgb="FFE67E22"/>
      <rgbColor rgb="FF595959"/>
      <rgbColor rgb="FF969696"/>
      <rgbColor rgb="FF1E2761"/>
      <rgbColor rgb="FF27AE60"/>
      <rgbColor rgb="FF003300"/>
      <rgbColor rgb="FF333300"/>
      <rgbColor rgb="FF9C2F2C"/>
      <rgbColor rgb="FFCE3A3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Maturité actuelle vs cible par fonction</a:t>
            </a:r>
          </a:p>
        </c:rich>
      </c:tx>
      <c:overlay val="0"/>
      <c:spPr>
        <a:noFill/>
        <a:ln w="0">
          <a:noFill/>
        </a:ln>
      </c:spPr>
    </c:title>
    <c:autoTitleDeleted val="0"/>
    <c:plotArea>
      <c:radarChart>
        <c:radarStyle val="filled"/>
        <c:varyColors val="0"/>
        <c:ser>
          <c:idx val="0"/>
          <c:order val="0"/>
          <c:tx>
            <c:strRef>
              <c:f>'Synthèse par fonction'!C4</c:f>
              <c:strCache>
                <c:ptCount val="1"/>
                <c:pt idx="0">
                  <c:v>Actuel (moy.)</c:v>
                </c:pt>
              </c:strCache>
            </c:strRef>
          </c:tx>
          <c:spPr>
            <a:gradFill>
              <a:gsLst>
                <a:gs pos="0">
                  <a:srgbClr val="2e5f99"/>
                </a:gs>
                <a:gs pos="80000">
                  <a:srgbClr val="3c7ac7"/>
                </a:gs>
                <a:gs pos="100000">
                  <a:srgbClr val="397bca"/>
                </a:gs>
              </a:gsLst>
              <a:lin ang="16200000"/>
            </a:gradFill>
            <a:ln w="0">
              <a:noFill/>
            </a:ln>
          </c:spP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'Synthèse par fonction'!$B$5:$B$10</c:f>
              <c:strCache>
                <c:ptCount val="6"/>
                <c:pt idx="0">
                  <c:v>GOVERN</c:v>
                </c:pt>
                <c:pt idx="1">
                  <c:v>IDENTIFY</c:v>
                </c:pt>
                <c:pt idx="2">
                  <c:v>PROTECT</c:v>
                </c:pt>
                <c:pt idx="3">
                  <c:v>DETECT</c:v>
                </c:pt>
                <c:pt idx="4">
                  <c:v>RESPOND</c:v>
                </c:pt>
                <c:pt idx="5">
                  <c:v>RECOVER</c:v>
                </c:pt>
              </c:strCache>
            </c:strRef>
          </c:cat>
          <c:val>
            <c:numRef>
              <c:f>'Synthèse par fonction'!$C$5:$C$10</c:f>
              <c:numCache>
                <c:formatCode>0.0</c:formatCode>
                <c:ptCount val="6"/>
                <c:pt idx="0">
                  <c:v>2.7</c:v>
                </c:pt>
                <c:pt idx="1">
                  <c:v>3</c:v>
                </c:pt>
                <c:pt idx="2">
                  <c:v>3.6</c:v>
                </c:pt>
                <c:pt idx="3">
                  <c:v>2.5</c:v>
                </c:pt>
                <c:pt idx="4">
                  <c:v>3.5</c:v>
                </c:pt>
                <c:pt idx="5">
                  <c:v>3</c:v>
                </c:pt>
              </c:numCache>
            </c:numRef>
          </c:val>
        </c:ser>
        <c:ser>
          <c:idx val="1"/>
          <c:order val="1"/>
          <c:tx>
            <c:strRef>
              <c:f>'Synthèse par fonction'!D4</c:f>
              <c:strCache>
                <c:ptCount val="1"/>
                <c:pt idx="0">
                  <c:v>Cible (moy.)</c:v>
                </c:pt>
              </c:strCache>
            </c:strRef>
          </c:tx>
          <c:spPr>
            <a:gradFill>
              <a:gsLst>
                <a:gs pos="0">
                  <a:srgbClr val="9c2f2c"/>
                </a:gs>
                <a:gs pos="80000">
                  <a:srgbClr val="cb3d39"/>
                </a:gs>
                <a:gs pos="100000">
                  <a:srgbClr val="ce3a36"/>
                </a:gs>
              </a:gsLst>
              <a:lin ang="16200000"/>
            </a:gradFill>
            <a:ln w="0">
              <a:noFill/>
            </a:ln>
          </c:spP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'Synthèse par fonction'!$B$5:$B$10</c:f>
              <c:strCache>
                <c:ptCount val="6"/>
                <c:pt idx="0">
                  <c:v>GOVERN</c:v>
                </c:pt>
                <c:pt idx="1">
                  <c:v>IDENTIFY</c:v>
                </c:pt>
                <c:pt idx="2">
                  <c:v>PROTECT</c:v>
                </c:pt>
                <c:pt idx="3">
                  <c:v>DETECT</c:v>
                </c:pt>
                <c:pt idx="4">
                  <c:v>RESPOND</c:v>
                </c:pt>
                <c:pt idx="5">
                  <c:v>RECOVER</c:v>
                </c:pt>
              </c:strCache>
            </c:strRef>
          </c:cat>
          <c:val>
            <c:numRef>
              <c:f>'Synthèse par fonction'!$D$5:$D$10</c:f>
              <c:numCache>
                <c:formatCode>0.0</c:formatCode>
                <c:ptCount val="6"/>
                <c:pt idx="0">
                  <c:v>4</c:v>
                </c:pt>
                <c:pt idx="1">
                  <c:v>4</c:v>
                </c:pt>
                <c:pt idx="2">
                  <c:v>4.2</c:v>
                </c:pt>
                <c:pt idx="3">
                  <c:v>4</c:v>
                </c:pt>
                <c:pt idx="4">
                  <c:v>4</c:v>
                </c:pt>
                <c:pt idx="5">
                  <c:v>4</c:v>
                </c:pt>
              </c:numCache>
            </c:numRef>
          </c:val>
        </c:ser>
        <c:axId val="41930200"/>
        <c:axId val="39122884"/>
      </c:radarChart>
      <c:catAx>
        <c:axId val="41930200"/>
        <c:scaling>
          <c:orientation val="maxMin"/>
        </c:scaling>
        <c:delete val="0"/>
        <c:axPos val="b"/>
        <c:numFmt formatCode="General" sourceLinked="1"/>
        <c:majorTickMark val="none"/>
        <c:minorTickMark val="none"/>
        <c:tickLblPos val="nextTo"/>
        <c:spPr>
          <a:ln w="9360">
            <a:noFill/>
          </a:ln>
        </c:spPr>
        <c:txPr>
          <a:bodyPr/>
          <a:lstStyle/>
          <a:p>
            <a:pPr>
              <a:defRPr b="0" sz="1000" spc="-1" strike="noStrike">
                <a:solidFill>
                  <a:srgbClr val="000000"/>
                </a:solidFill>
                <a:latin typeface="Calibri"/>
              </a:defRPr>
            </a:pPr>
          </a:p>
        </c:txPr>
        <c:crossAx val="39122884"/>
        <c:crosses val="autoZero"/>
        <c:auto val="1"/>
        <c:lblAlgn val="ctr"/>
        <c:lblOffset val="100"/>
        <c:noMultiLvlLbl val="0"/>
      </c:catAx>
      <c:valAx>
        <c:axId val="39122884"/>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930200"/>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160920</xdr:rowOff>
    </xdr:from>
    <xdr:to>
      <xdr:col>16</xdr:col>
      <xdr:colOff>256320</xdr:colOff>
      <xdr:row>15</xdr:row>
      <xdr:rowOff>141120</xdr:rowOff>
    </xdr:to>
    <xdr:graphicFrame>
      <xdr:nvGraphicFramePr>
        <xdr:cNvPr id="0" name="Chart 1"/>
        <xdr:cNvGraphicFramePr/>
      </xdr:nvGraphicFramePr>
      <xdr:xfrm>
        <a:off x="9258480" y="571680"/>
        <a:ext cx="575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2"/>
    <col collapsed="false" customWidth="true" hidden="false" outlineLevel="0" max="3" min="3" style="0" width="18"/>
    <col collapsed="false" customWidth="true" hidden="false" outlineLevel="0" max="4" min="4" style="0" width="70"/>
  </cols>
  <sheetData>
    <row r="2" customFormat="false" ht="22.05"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t="s">
        <v>2</v>
      </c>
    </row>
    <row r="6" customFormat="false" ht="16.15" hidden="false" customHeight="false" outlineLevel="0" collapsed="false">
      <c r="B6" s="4" t="s">
        <v>3</v>
      </c>
    </row>
    <row r="7" customFormat="false" ht="15" hidden="false" customHeight="false" outlineLevel="0" collapsed="false">
      <c r="B7" s="5" t="s">
        <v>4</v>
      </c>
      <c r="C7" s="5" t="s">
        <v>5</v>
      </c>
      <c r="D7" s="5" t="s">
        <v>6</v>
      </c>
    </row>
    <row r="8" customFormat="false" ht="15" hidden="false" customHeight="false" outlineLevel="0" collapsed="false">
      <c r="B8" s="6" t="n">
        <v>1</v>
      </c>
      <c r="C8" s="7" t="s">
        <v>7</v>
      </c>
      <c r="D8" s="7" t="s">
        <v>8</v>
      </c>
    </row>
    <row r="9" customFormat="false" ht="15" hidden="false" customHeight="false" outlineLevel="0" collapsed="false">
      <c r="B9" s="8" t="n">
        <v>2</v>
      </c>
      <c r="C9" s="9" t="s">
        <v>9</v>
      </c>
      <c r="D9" s="9" t="s">
        <v>10</v>
      </c>
    </row>
    <row r="10" customFormat="false" ht="15" hidden="false" customHeight="false" outlineLevel="0" collapsed="false">
      <c r="B10" s="6" t="n">
        <v>3</v>
      </c>
      <c r="C10" s="7" t="s">
        <v>11</v>
      </c>
      <c r="D10" s="7" t="s">
        <v>12</v>
      </c>
    </row>
    <row r="11" customFormat="false" ht="15" hidden="false" customHeight="false" outlineLevel="0" collapsed="false">
      <c r="B11" s="8" t="n">
        <v>4</v>
      </c>
      <c r="C11" s="9" t="s">
        <v>13</v>
      </c>
      <c r="D11" s="9" t="s">
        <v>14</v>
      </c>
    </row>
    <row r="12" customFormat="false" ht="15" hidden="false" customHeight="false" outlineLevel="0" collapsed="false">
      <c r="B12" s="6" t="n">
        <v>5</v>
      </c>
      <c r="C12" s="7" t="s">
        <v>15</v>
      </c>
      <c r="D12" s="7" t="s">
        <v>16</v>
      </c>
    </row>
    <row r="14" customFormat="false" ht="16.15" hidden="false" customHeight="false" outlineLevel="0" collapsed="false">
      <c r="B14" s="4" t="s">
        <v>17</v>
      </c>
    </row>
    <row r="15" customFormat="false" ht="15" hidden="false" customHeight="false" outlineLevel="0" collapsed="false">
      <c r="B15" s="5" t="s">
        <v>18</v>
      </c>
      <c r="C15" s="5" t="s">
        <v>19</v>
      </c>
    </row>
    <row r="16" customFormat="false" ht="23.85" hidden="false" customHeight="false" outlineLevel="0" collapsed="false">
      <c r="B16" s="10" t="s">
        <v>20</v>
      </c>
      <c r="C16" s="7" t="s">
        <v>21</v>
      </c>
    </row>
    <row r="17" customFormat="false" ht="35.05" hidden="false" customHeight="false" outlineLevel="0" collapsed="false">
      <c r="B17" s="11" t="s">
        <v>22</v>
      </c>
      <c r="C17" s="7" t="s">
        <v>23</v>
      </c>
    </row>
    <row r="18" customFormat="false" ht="23.85" hidden="false" customHeight="false" outlineLevel="0" collapsed="false">
      <c r="B18" s="12" t="s">
        <v>24</v>
      </c>
      <c r="C18" s="7" t="s">
        <v>25</v>
      </c>
    </row>
    <row r="20" customFormat="false" ht="15" hidden="false" customHeight="false" outlineLevel="0" collapsed="false">
      <c r="B20" s="13" t="s">
        <v>26</v>
      </c>
    </row>
    <row r="21" customFormat="false" ht="15" hidden="false" customHeight="true" outlineLevel="0" collapsed="false">
      <c r="B21" s="14" t="s">
        <v>27</v>
      </c>
      <c r="C21" s="14"/>
      <c r="D21" s="14"/>
    </row>
    <row r="22" customFormat="false" ht="15" hidden="false" customHeight="false" outlineLevel="0" collapsed="false">
      <c r="B22" s="14"/>
      <c r="C22" s="14"/>
      <c r="D22" s="14"/>
    </row>
    <row r="23" customFormat="false" ht="15" hidden="false" customHeight="false" outlineLevel="0" collapsed="false">
      <c r="B23" s="14"/>
      <c r="C23" s="14"/>
      <c r="D23" s="14"/>
    </row>
    <row r="24" customFormat="false" ht="15" hidden="false" customHeight="false" outlineLevel="0" collapsed="false">
      <c r="B24" s="14"/>
      <c r="C24" s="14"/>
      <c r="D24" s="14"/>
    </row>
  </sheetData>
  <mergeCells count="1">
    <mergeCell ref="B21: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
    <col collapsed="false" customWidth="true" hidden="false" outlineLevel="0" max="3" min="3" style="0" width="26"/>
    <col collapsed="false" customWidth="true" hidden="false" outlineLevel="0" max="5" min="4" style="0" width="9"/>
    <col collapsed="false" customWidth="true" hidden="false" outlineLevel="0" max="6" min="6" style="0" width="8"/>
    <col collapsed="false" customWidth="true" hidden="false" outlineLevel="0" max="7" min="7" style="0" width="75"/>
  </cols>
  <sheetData>
    <row r="1" customFormat="false" ht="30" hidden="false" customHeight="true" outlineLevel="0" collapsed="false">
      <c r="A1" s="5" t="s">
        <v>28</v>
      </c>
      <c r="B1" s="5" t="s">
        <v>29</v>
      </c>
      <c r="C1" s="5" t="s">
        <v>30</v>
      </c>
      <c r="D1" s="5" t="s">
        <v>31</v>
      </c>
      <c r="E1" s="5" t="s">
        <v>32</v>
      </c>
      <c r="F1" s="5" t="s">
        <v>18</v>
      </c>
      <c r="G1" s="5" t="s">
        <v>33</v>
      </c>
    </row>
    <row r="2" customFormat="false" ht="15" hidden="false" customHeight="false" outlineLevel="0" collapsed="false">
      <c r="A2" s="15" t="s">
        <v>34</v>
      </c>
      <c r="B2" s="16"/>
      <c r="C2" s="16"/>
      <c r="D2" s="16"/>
      <c r="E2" s="16"/>
      <c r="F2" s="16"/>
      <c r="G2" s="16"/>
    </row>
    <row r="3" customFormat="false" ht="42" hidden="false" customHeight="true" outlineLevel="0" collapsed="false">
      <c r="A3" s="7"/>
      <c r="B3" s="6" t="s">
        <v>35</v>
      </c>
      <c r="C3" s="7" t="s">
        <v>36</v>
      </c>
      <c r="D3" s="6" t="n">
        <v>3</v>
      </c>
      <c r="E3" s="6" t="n">
        <v>4</v>
      </c>
      <c r="F3" s="6" t="n">
        <f aca="false">E3-D3</f>
        <v>1</v>
      </c>
      <c r="G3" s="7" t="s">
        <v>37</v>
      </c>
    </row>
    <row r="4" customFormat="false" ht="42" hidden="false" customHeight="true" outlineLevel="0" collapsed="false">
      <c r="A4" s="7"/>
      <c r="B4" s="6" t="s">
        <v>38</v>
      </c>
      <c r="C4" s="7" t="s">
        <v>39</v>
      </c>
      <c r="D4" s="6" t="n">
        <v>3</v>
      </c>
      <c r="E4" s="6" t="n">
        <v>4</v>
      </c>
      <c r="F4" s="6" t="n">
        <f aca="false">E4-D4</f>
        <v>1</v>
      </c>
      <c r="G4" s="7" t="s">
        <v>40</v>
      </c>
    </row>
    <row r="5" customFormat="false" ht="42" hidden="false" customHeight="true" outlineLevel="0" collapsed="false">
      <c r="A5" s="7"/>
      <c r="B5" s="6" t="s">
        <v>41</v>
      </c>
      <c r="C5" s="7" t="s">
        <v>42</v>
      </c>
      <c r="D5" s="6" t="n">
        <v>2</v>
      </c>
      <c r="E5" s="6" t="n">
        <v>4</v>
      </c>
      <c r="F5" s="6" t="n">
        <f aca="false">E5-D5</f>
        <v>2</v>
      </c>
      <c r="G5" s="7" t="s">
        <v>43</v>
      </c>
    </row>
    <row r="6" customFormat="false" ht="42" hidden="false" customHeight="true" outlineLevel="0" collapsed="false">
      <c r="A6" s="7"/>
      <c r="B6" s="6" t="s">
        <v>44</v>
      </c>
      <c r="C6" s="7" t="s">
        <v>45</v>
      </c>
      <c r="D6" s="6" t="n">
        <v>3</v>
      </c>
      <c r="E6" s="6" t="n">
        <v>4</v>
      </c>
      <c r="F6" s="6" t="n">
        <f aca="false">E6-D6</f>
        <v>1</v>
      </c>
      <c r="G6" s="7" t="s">
        <v>46</v>
      </c>
    </row>
    <row r="7" customFormat="false" ht="42" hidden="false" customHeight="true" outlineLevel="0" collapsed="false">
      <c r="A7" s="7"/>
      <c r="B7" s="6" t="s">
        <v>47</v>
      </c>
      <c r="C7" s="7" t="s">
        <v>48</v>
      </c>
      <c r="D7" s="6" t="n">
        <v>3</v>
      </c>
      <c r="E7" s="6" t="n">
        <v>4</v>
      </c>
      <c r="F7" s="6" t="n">
        <f aca="false">E7-D7</f>
        <v>1</v>
      </c>
      <c r="G7" s="7" t="s">
        <v>49</v>
      </c>
    </row>
    <row r="8" customFormat="false" ht="42" hidden="false" customHeight="true" outlineLevel="0" collapsed="false">
      <c r="A8" s="7"/>
      <c r="B8" s="6" t="s">
        <v>50</v>
      </c>
      <c r="C8" s="7" t="s">
        <v>51</v>
      </c>
      <c r="D8" s="6" t="n">
        <v>2</v>
      </c>
      <c r="E8" s="6" t="n">
        <v>4</v>
      </c>
      <c r="F8" s="6" t="n">
        <f aca="false">E8-D8</f>
        <v>2</v>
      </c>
      <c r="G8" s="7" t="s">
        <v>52</v>
      </c>
    </row>
    <row r="9" customFormat="false" ht="15" hidden="false" customHeight="false" outlineLevel="0" collapsed="false">
      <c r="A9" s="15" t="s">
        <v>53</v>
      </c>
      <c r="B9" s="16"/>
      <c r="C9" s="16"/>
      <c r="D9" s="16"/>
      <c r="E9" s="16"/>
      <c r="F9" s="16"/>
      <c r="G9" s="16"/>
    </row>
    <row r="10" customFormat="false" ht="42" hidden="false" customHeight="true" outlineLevel="0" collapsed="false">
      <c r="A10" s="7"/>
      <c r="B10" s="6" t="s">
        <v>54</v>
      </c>
      <c r="C10" s="7" t="s">
        <v>55</v>
      </c>
      <c r="D10" s="6" t="n">
        <v>3</v>
      </c>
      <c r="E10" s="6" t="n">
        <v>4</v>
      </c>
      <c r="F10" s="6" t="n">
        <f aca="false">E10-D10</f>
        <v>1</v>
      </c>
      <c r="G10" s="7" t="s">
        <v>56</v>
      </c>
    </row>
    <row r="11" customFormat="false" ht="42" hidden="false" customHeight="true" outlineLevel="0" collapsed="false">
      <c r="A11" s="7"/>
      <c r="B11" s="6" t="s">
        <v>57</v>
      </c>
      <c r="C11" s="7" t="s">
        <v>58</v>
      </c>
      <c r="D11" s="6" t="n">
        <v>3</v>
      </c>
      <c r="E11" s="6" t="n">
        <v>4</v>
      </c>
      <c r="F11" s="6" t="n">
        <f aca="false">E11-D11</f>
        <v>1</v>
      </c>
      <c r="G11" s="7" t="s">
        <v>59</v>
      </c>
    </row>
    <row r="12" customFormat="false" ht="42" hidden="false" customHeight="true" outlineLevel="0" collapsed="false">
      <c r="A12" s="7"/>
      <c r="B12" s="6" t="s">
        <v>60</v>
      </c>
      <c r="C12" s="7" t="s">
        <v>61</v>
      </c>
      <c r="D12" s="6" t="n">
        <v>3</v>
      </c>
      <c r="E12" s="6" t="n">
        <v>4</v>
      </c>
      <c r="F12" s="6" t="n">
        <f aca="false">E12-D12</f>
        <v>1</v>
      </c>
      <c r="G12" s="7" t="s">
        <v>62</v>
      </c>
    </row>
    <row r="13" customFormat="false" ht="15" hidden="false" customHeight="false" outlineLevel="0" collapsed="false">
      <c r="A13" s="15" t="s">
        <v>63</v>
      </c>
      <c r="B13" s="16"/>
      <c r="C13" s="16"/>
      <c r="D13" s="16"/>
      <c r="E13" s="16"/>
      <c r="F13" s="16"/>
      <c r="G13" s="16"/>
    </row>
    <row r="14" customFormat="false" ht="42" hidden="false" customHeight="true" outlineLevel="0" collapsed="false">
      <c r="A14" s="7"/>
      <c r="B14" s="6" t="s">
        <v>64</v>
      </c>
      <c r="C14" s="7" t="s">
        <v>65</v>
      </c>
      <c r="D14" s="6" t="n">
        <v>4</v>
      </c>
      <c r="E14" s="6" t="n">
        <v>4</v>
      </c>
      <c r="F14" s="6" t="n">
        <f aca="false">E14-D14</f>
        <v>0</v>
      </c>
      <c r="G14" s="7" t="s">
        <v>66</v>
      </c>
    </row>
    <row r="15" customFormat="false" ht="42" hidden="false" customHeight="true" outlineLevel="0" collapsed="false">
      <c r="A15" s="7"/>
      <c r="B15" s="6" t="s">
        <v>67</v>
      </c>
      <c r="C15" s="7" t="s">
        <v>68</v>
      </c>
      <c r="D15" s="6" t="n">
        <v>3</v>
      </c>
      <c r="E15" s="6" t="n">
        <v>4</v>
      </c>
      <c r="F15" s="6" t="n">
        <f aca="false">E15-D15</f>
        <v>1</v>
      </c>
      <c r="G15" s="7" t="s">
        <v>69</v>
      </c>
    </row>
    <row r="16" customFormat="false" ht="42" hidden="false" customHeight="true" outlineLevel="0" collapsed="false">
      <c r="A16" s="7"/>
      <c r="B16" s="6" t="s">
        <v>70</v>
      </c>
      <c r="C16" s="7" t="s">
        <v>71</v>
      </c>
      <c r="D16" s="6" t="n">
        <v>4</v>
      </c>
      <c r="E16" s="6" t="n">
        <v>5</v>
      </c>
      <c r="F16" s="6" t="n">
        <f aca="false">E16-D16</f>
        <v>1</v>
      </c>
      <c r="G16" s="7" t="s">
        <v>72</v>
      </c>
    </row>
    <row r="17" customFormat="false" ht="42" hidden="false" customHeight="true" outlineLevel="0" collapsed="false">
      <c r="A17" s="7"/>
      <c r="B17" s="6" t="s">
        <v>73</v>
      </c>
      <c r="C17" s="7" t="s">
        <v>74</v>
      </c>
      <c r="D17" s="6" t="n">
        <v>3</v>
      </c>
      <c r="E17" s="6" t="n">
        <v>4</v>
      </c>
      <c r="F17" s="6" t="n">
        <f aca="false">E17-D17</f>
        <v>1</v>
      </c>
      <c r="G17" s="7" t="s">
        <v>75</v>
      </c>
    </row>
    <row r="18" customFormat="false" ht="42" hidden="false" customHeight="true" outlineLevel="0" collapsed="false">
      <c r="A18" s="7"/>
      <c r="B18" s="6" t="s">
        <v>76</v>
      </c>
      <c r="C18" s="7" t="s">
        <v>77</v>
      </c>
      <c r="D18" s="6" t="n">
        <v>4</v>
      </c>
      <c r="E18" s="6" t="n">
        <v>4</v>
      </c>
      <c r="F18" s="6" t="n">
        <f aca="false">E18-D18</f>
        <v>0</v>
      </c>
      <c r="G18" s="7" t="s">
        <v>78</v>
      </c>
    </row>
    <row r="19" customFormat="false" ht="15" hidden="false" customHeight="false" outlineLevel="0" collapsed="false">
      <c r="A19" s="15" t="s">
        <v>79</v>
      </c>
      <c r="B19" s="16"/>
      <c r="C19" s="16"/>
      <c r="D19" s="16"/>
      <c r="E19" s="16"/>
      <c r="F19" s="16"/>
      <c r="G19" s="16"/>
    </row>
    <row r="20" customFormat="false" ht="42" hidden="false" customHeight="true" outlineLevel="0" collapsed="false">
      <c r="A20" s="7"/>
      <c r="B20" s="6" t="s">
        <v>80</v>
      </c>
      <c r="C20" s="7" t="s">
        <v>81</v>
      </c>
      <c r="D20" s="6" t="n">
        <v>3</v>
      </c>
      <c r="E20" s="6" t="n">
        <v>4</v>
      </c>
      <c r="F20" s="6" t="n">
        <f aca="false">E20-D20</f>
        <v>1</v>
      </c>
      <c r="G20" s="7" t="s">
        <v>82</v>
      </c>
    </row>
    <row r="21" customFormat="false" ht="42" hidden="false" customHeight="true" outlineLevel="0" collapsed="false">
      <c r="A21" s="7"/>
      <c r="B21" s="6" t="s">
        <v>83</v>
      </c>
      <c r="C21" s="7" t="s">
        <v>84</v>
      </c>
      <c r="D21" s="6" t="n">
        <v>2</v>
      </c>
      <c r="E21" s="6" t="n">
        <v>4</v>
      </c>
      <c r="F21" s="6" t="n">
        <f aca="false">E21-D21</f>
        <v>2</v>
      </c>
      <c r="G21" s="7" t="s">
        <v>85</v>
      </c>
    </row>
    <row r="22" customFormat="false" ht="15" hidden="false" customHeight="false" outlineLevel="0" collapsed="false">
      <c r="A22" s="15" t="s">
        <v>86</v>
      </c>
      <c r="B22" s="16"/>
      <c r="C22" s="16"/>
      <c r="D22" s="16"/>
      <c r="E22" s="16"/>
      <c r="F22" s="16"/>
      <c r="G22" s="16"/>
    </row>
    <row r="23" customFormat="false" ht="42" hidden="false" customHeight="true" outlineLevel="0" collapsed="false">
      <c r="A23" s="7"/>
      <c r="B23" s="6" t="s">
        <v>87</v>
      </c>
      <c r="C23" s="7" t="s">
        <v>88</v>
      </c>
      <c r="D23" s="6" t="n">
        <v>4</v>
      </c>
      <c r="E23" s="6" t="n">
        <v>4</v>
      </c>
      <c r="F23" s="6" t="n">
        <f aca="false">E23-D23</f>
        <v>0</v>
      </c>
      <c r="G23" s="7" t="s">
        <v>89</v>
      </c>
    </row>
    <row r="24" customFormat="false" ht="42" hidden="false" customHeight="true" outlineLevel="0" collapsed="false">
      <c r="A24" s="7"/>
      <c r="B24" s="6" t="s">
        <v>90</v>
      </c>
      <c r="C24" s="7" t="s">
        <v>91</v>
      </c>
      <c r="D24" s="6" t="n">
        <v>3</v>
      </c>
      <c r="E24" s="6" t="n">
        <v>4</v>
      </c>
      <c r="F24" s="6" t="n">
        <f aca="false">E24-D24</f>
        <v>1</v>
      </c>
      <c r="G24" s="7" t="s">
        <v>92</v>
      </c>
    </row>
    <row r="25" customFormat="false" ht="42" hidden="false" customHeight="true" outlineLevel="0" collapsed="false">
      <c r="A25" s="7"/>
      <c r="B25" s="6" t="s">
        <v>93</v>
      </c>
      <c r="C25" s="7" t="s">
        <v>94</v>
      </c>
      <c r="D25" s="6" t="n">
        <v>4</v>
      </c>
      <c r="E25" s="6" t="n">
        <v>4</v>
      </c>
      <c r="F25" s="6" t="n">
        <f aca="false">E25-D25</f>
        <v>0</v>
      </c>
      <c r="G25" s="7" t="s">
        <v>95</v>
      </c>
    </row>
    <row r="26" customFormat="false" ht="42" hidden="false" customHeight="true" outlineLevel="0" collapsed="false">
      <c r="A26" s="7"/>
      <c r="B26" s="6" t="s">
        <v>96</v>
      </c>
      <c r="C26" s="7" t="s">
        <v>97</v>
      </c>
      <c r="D26" s="6" t="n">
        <v>3</v>
      </c>
      <c r="E26" s="6" t="n">
        <v>4</v>
      </c>
      <c r="F26" s="6" t="n">
        <f aca="false">E26-D26</f>
        <v>1</v>
      </c>
      <c r="G26" s="7" t="s">
        <v>98</v>
      </c>
    </row>
    <row r="27" customFormat="false" ht="15" hidden="false" customHeight="false" outlineLevel="0" collapsed="false">
      <c r="A27" s="15" t="s">
        <v>99</v>
      </c>
      <c r="B27" s="16"/>
      <c r="C27" s="16"/>
      <c r="D27" s="16"/>
      <c r="E27" s="16"/>
      <c r="F27" s="16"/>
      <c r="G27" s="16"/>
    </row>
    <row r="28" customFormat="false" ht="42" hidden="false" customHeight="true" outlineLevel="0" collapsed="false">
      <c r="A28" s="7"/>
      <c r="B28" s="6" t="s">
        <v>100</v>
      </c>
      <c r="C28" s="7" t="s">
        <v>101</v>
      </c>
      <c r="D28" s="6" t="n">
        <v>3</v>
      </c>
      <c r="E28" s="6" t="n">
        <v>4</v>
      </c>
      <c r="F28" s="6" t="n">
        <f aca="false">E28-D28</f>
        <v>1</v>
      </c>
      <c r="G28" s="7" t="s">
        <v>102</v>
      </c>
    </row>
    <row r="29" customFormat="false" ht="42" hidden="false" customHeight="true" outlineLevel="0" collapsed="false">
      <c r="A29" s="7"/>
      <c r="B29" s="6" t="s">
        <v>103</v>
      </c>
      <c r="C29" s="7" t="s">
        <v>104</v>
      </c>
      <c r="D29" s="6" t="n">
        <v>3</v>
      </c>
      <c r="E29" s="6" t="n">
        <v>4</v>
      </c>
      <c r="F29" s="6" t="n">
        <f aca="false">E29-D29</f>
        <v>1</v>
      </c>
      <c r="G29" s="7" t="s">
        <v>105</v>
      </c>
    </row>
    <row r="31" customFormat="false" ht="15" hidden="false" customHeight="false" outlineLevel="0" collapsed="false">
      <c r="C31" s="17" t="s">
        <v>106</v>
      </c>
      <c r="D31" s="18" t="n">
        <f aca="false">AVERAGE(D2:D29)</f>
        <v>3.09090909090909</v>
      </c>
      <c r="E31" s="18" t="n">
        <f aca="false">AVERAGE(E2:E29)</f>
        <v>4.04545454545455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6"/>
    <col collapsed="false" customWidth="true" hidden="false" outlineLevel="0" max="4" min="3" style="0" width="14"/>
    <col collapsed="false" customWidth="true" hidden="false" outlineLevel="0" max="5" min="5" style="0" width="10"/>
    <col collapsed="false" customWidth="true" hidden="false" outlineLevel="0" max="6" min="6" style="0" width="60"/>
  </cols>
  <sheetData>
    <row r="2" customFormat="false" ht="17.35" hidden="false" customHeight="false" outlineLevel="0" collapsed="false">
      <c r="B2" s="19" t="s">
        <v>107</v>
      </c>
    </row>
    <row r="4" customFormat="false" ht="15" hidden="false" customHeight="false" outlineLevel="0" collapsed="false">
      <c r="B4" s="5" t="s">
        <v>28</v>
      </c>
      <c r="C4" s="5" t="s">
        <v>108</v>
      </c>
      <c r="D4" s="5" t="s">
        <v>109</v>
      </c>
      <c r="E4" s="5" t="s">
        <v>18</v>
      </c>
      <c r="F4" s="5" t="s">
        <v>110</v>
      </c>
    </row>
    <row r="5" customFormat="false" ht="30" hidden="false" customHeight="true" outlineLevel="0" collapsed="false">
      <c r="B5" s="20" t="s">
        <v>111</v>
      </c>
      <c r="C5" s="18" t="n">
        <v>2.7</v>
      </c>
      <c r="D5" s="18" t="n">
        <v>4</v>
      </c>
      <c r="E5" s="18" t="n">
        <f aca="false">D5-C5</f>
        <v>1.3</v>
      </c>
      <c r="F5" s="7" t="s">
        <v>112</v>
      </c>
    </row>
    <row r="6" customFormat="false" ht="30" hidden="false" customHeight="true" outlineLevel="0" collapsed="false">
      <c r="B6" s="20" t="s">
        <v>113</v>
      </c>
      <c r="C6" s="18" t="n">
        <v>3</v>
      </c>
      <c r="D6" s="18" t="n">
        <v>4</v>
      </c>
      <c r="E6" s="18" t="n">
        <f aca="false">D6-C6</f>
        <v>1</v>
      </c>
      <c r="F6" s="7" t="s">
        <v>114</v>
      </c>
    </row>
    <row r="7" customFormat="false" ht="30" hidden="false" customHeight="true" outlineLevel="0" collapsed="false">
      <c r="B7" s="20" t="s">
        <v>115</v>
      </c>
      <c r="C7" s="18" t="n">
        <v>3.6</v>
      </c>
      <c r="D7" s="18" t="n">
        <v>4.2</v>
      </c>
      <c r="E7" s="18" t="n">
        <f aca="false">D7-C7</f>
        <v>0.6</v>
      </c>
      <c r="F7" s="7" t="s">
        <v>116</v>
      </c>
    </row>
    <row r="8" customFormat="false" ht="30" hidden="false" customHeight="true" outlineLevel="0" collapsed="false">
      <c r="B8" s="20" t="s">
        <v>117</v>
      </c>
      <c r="C8" s="18" t="n">
        <v>2.5</v>
      </c>
      <c r="D8" s="18" t="n">
        <v>4</v>
      </c>
      <c r="E8" s="18" t="n">
        <f aca="false">D8-C8</f>
        <v>1.5</v>
      </c>
      <c r="F8" s="7" t="s">
        <v>118</v>
      </c>
    </row>
    <row r="9" customFormat="false" ht="30" hidden="false" customHeight="true" outlineLevel="0" collapsed="false">
      <c r="B9" s="20" t="s">
        <v>119</v>
      </c>
      <c r="C9" s="18" t="n">
        <v>3.5</v>
      </c>
      <c r="D9" s="18" t="n">
        <v>4</v>
      </c>
      <c r="E9" s="18" t="n">
        <f aca="false">D9-C9</f>
        <v>0.5</v>
      </c>
      <c r="F9" s="7" t="s">
        <v>120</v>
      </c>
    </row>
    <row r="10" customFormat="false" ht="30" hidden="false" customHeight="true" outlineLevel="0" collapsed="false">
      <c r="B10" s="20" t="s">
        <v>121</v>
      </c>
      <c r="C10" s="18" t="n">
        <v>3</v>
      </c>
      <c r="D10" s="18" t="n">
        <v>4</v>
      </c>
      <c r="E10" s="18" t="n">
        <f aca="false">D10-C10</f>
        <v>1</v>
      </c>
      <c r="F10" s="7" t="s">
        <v>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2026-05-27T08:17:15Z</dcterms:created>
  <dc:creator>openpyxl</dc:creator>
  <dc:description/>
  <dc:language>en-US</dc:language>
  <cp:lastModifiedBy/>
  <dcterms:modified xsi:type="dcterms:W3CDTF">2026-05-27T08:17:18Z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